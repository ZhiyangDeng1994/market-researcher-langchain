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agent</author>
  </authors>
  <commentList>
    <comment ref="B5" authorId="0" shapeId="0">
      <text>
        <t>Source: Yahoo Finance (VST), retrieved via yfinance</t>
      </text>
    </comment>
    <comment ref="C5" authorId="0" shapeId="0">
      <text>
        <t>Source: Yahoo Finance (VST), retrieved via yfinance</t>
      </text>
    </comment>
    <comment ref="D5" authorId="0" shapeId="0">
      <text>
        <t>Source: Yahoo Finance (VST), retrieved via yfinance</t>
      </text>
    </comment>
    <comment ref="E5" authorId="0" shapeId="0">
      <text>
        <t>Source: Yahoo Finance (VST), retrieved via yfinance</t>
      </text>
    </comment>
    <comment ref="B6" authorId="0" shapeId="0">
      <text>
        <t>Source: Yahoo Finance (CEG), retrieved via yfinance</t>
      </text>
    </comment>
    <comment ref="C6" authorId="0" shapeId="0">
      <text>
        <t>Source: Yahoo Finance (CEG), retrieved via yfinance</t>
      </text>
    </comment>
    <comment ref="D6" authorId="0" shapeId="0">
      <text>
        <t>Source: Yahoo Finance (CEG), retrieved via yfinance</t>
      </text>
    </comment>
    <comment ref="E6" authorId="0" shapeId="0">
      <text>
        <t>Source: Yahoo Finance (CEG), retrieved via yfinance</t>
      </text>
    </comment>
    <comment ref="B7" authorId="0" shapeId="0">
      <text>
        <t>Source: Yahoo Finance (NRG), retrieved via yfinance</t>
      </text>
    </comment>
    <comment ref="C7" authorId="0" shapeId="0">
      <text>
        <t>Source: Yahoo Finance (NRG), retrieved via yfinance</t>
      </text>
    </comment>
    <comment ref="D7" authorId="0" shapeId="0">
      <text>
        <t>Source: Yahoo Finance (NRG), retrieved via yfinance</t>
      </text>
    </comment>
    <comment ref="E7" authorId="0" shapeId="0">
      <text>
        <t>Source: Yahoo Finance (NRG), retrieved via yfinance</t>
      </text>
    </comment>
    <comment ref="B8" authorId="0" shapeId="0">
      <text>
        <t>Source: Yahoo Finance (ETR), retrieved via yfinance</t>
      </text>
    </comment>
    <comment ref="C8" authorId="0" shapeId="0">
      <text>
        <t>Source: Yahoo Finance (ETR), retrieved via yfinance</t>
      </text>
    </comment>
    <comment ref="D8" authorId="0" shapeId="0">
      <text>
        <t>Source: Yahoo Finance (ETR), retrieved via yfinance</t>
      </text>
    </comment>
    <comment ref="E8" authorId="0" shapeId="0">
      <text>
        <t>Source: Yahoo Finance (ETR), retrieved via yfinance</t>
      </text>
    </comment>
    <comment ref="B9" authorId="0" shapeId="0">
      <text>
        <t>Source: Yahoo Finance (EXC), retrieved via yfinance</t>
      </text>
    </comment>
    <comment ref="C9" authorId="0" shapeId="0">
      <text>
        <t>Source: Yahoo Finance (EXC), retrieved via yfinance</t>
      </text>
    </comment>
    <comment ref="D9" authorId="0" shapeId="0">
      <text>
        <t>Source: Yahoo Finance (EXC), retrieved via yfinance</t>
      </text>
    </comment>
    <comment ref="E9" authorId="0" shapeId="0">
      <text>
        <t>Source: Yahoo Finance (EXC), retrieved via yfinance</t>
      </text>
    </comment>
    <comment ref="B10" authorId="0" shapeId="0">
      <text>
        <t>Source: Yahoo Finance (AES), retrieved via yfinance</t>
      </text>
    </comment>
    <comment ref="C10" authorId="0" shapeId="0">
      <text>
        <t>Source: Yahoo Finance (AES), retrieved via yfinance</t>
      </text>
    </comment>
    <comment ref="D10" authorId="0" shapeId="0">
      <text>
        <t>Source: Yahoo Finance (AES), retrieved via yfinance</t>
      </text>
    </comment>
    <comment ref="E10" authorId="0" shapeId="0">
      <text>
        <t>Source: Yahoo Finance (AES), retrieved via yfinance</t>
      </text>
    </comment>
    <comment ref="B11" authorId="0" shapeId="0">
      <text>
        <t>Source: Yahoo Finance (PCG), retrieved via yfinance</t>
      </text>
    </comment>
    <comment ref="C11" authorId="0" shapeId="0">
      <text>
        <t>Source: Yahoo Finance (PCG), retrieved via yfinance</t>
      </text>
    </comment>
    <comment ref="D11" authorId="0" shapeId="0">
      <text>
        <t>Source: Yahoo Finance (PCG), retrieved via yfinance</t>
      </text>
    </comment>
    <comment ref="E11" authorId="0" shapeId="0">
      <text>
        <t>Source: Yahoo Finance (PCG), retrieved via yfinance</t>
      </text>
    </comment>
    <comment ref="B12" authorId="0" shapeId="0">
      <text>
        <t>Source: Yahoo Finance (FE), retrieved via yfinance</t>
      </text>
    </comment>
    <comment ref="C12" authorId="0" shapeId="0">
      <text>
        <t>Source: Yahoo Finance (FE), retrieved via yfinance</t>
      </text>
    </comment>
    <comment ref="D12" authorId="0" shapeId="0">
      <text>
        <t>Source: Yahoo Finance (FE), retrieved via yfinance</t>
      </text>
    </comment>
    <comment ref="E12" authorId="0" shapeId="0">
      <text>
        <t>Source: Yahoo Finance (FE), retrieved via yfinance</t>
      </text>
    </comment>
    <comment ref="B13" authorId="0" shapeId="0">
      <text>
        <t>Source: Yahoo Finance (NEE), retrieved via yfinance</t>
      </text>
    </comment>
    <comment ref="C13" authorId="0" shapeId="0">
      <text>
        <t>Source: Yahoo Finance (NEE), retrieved via yfinance</t>
      </text>
    </comment>
    <comment ref="D13" authorId="0" shapeId="0">
      <text>
        <t>Source: Yahoo Finance (NEE), retrieved via yfinance</t>
      </text>
    </comment>
    <comment ref="E13" authorId="0" shapeId="0">
      <text>
        <t>Source: Yahoo Finance (NEE), retrieved via yfinance</t>
      </text>
    </comment>
    <comment ref="B14" authorId="0" shapeId="0">
      <text>
        <t>Source: Yahoo Finance (DUK), retrieved via yfinance</t>
      </text>
    </comment>
    <comment ref="C14" authorId="0" shapeId="0">
      <text>
        <t>Source: Yahoo Finance (DUK), retrieved via yfinance</t>
      </text>
    </comment>
    <comment ref="D14" authorId="0" shapeId="0">
      <text>
        <t>Source: Yahoo Finance (DUK), retrieved via yfinance</t>
      </text>
    </comment>
    <comment ref="E14" authorId="0" shapeId="0">
      <text>
        <t>Source: Yahoo Finance (DUK), retrieved via yfinance</t>
      </text>
    </comment>
    <comment ref="B15" authorId="0" shapeId="0">
      <text>
        <t>Source: Yahoo Finance (SO), retrieved via yfinance</t>
      </text>
    </comment>
    <comment ref="C15" authorId="0" shapeId="0">
      <text>
        <t>Source: Yahoo Finance (SO), retrieved via yfinance</t>
      </text>
    </comment>
    <comment ref="D15" authorId="0" shapeId="0">
      <text>
        <t>Source: Yahoo Finance (SO), retrieved via yfinance</t>
      </text>
    </comment>
    <comment ref="E15" authorId="0" shapeId="0">
      <text>
        <t>Source: Yahoo Finance (SO), retrieved via yfinance</t>
      </text>
    </comment>
    <comment ref="B16" authorId="0" shapeId="0">
      <text>
        <t>Source: Yahoo Finance (AWK), retrieved via yfinance</t>
      </text>
    </comment>
    <comment ref="C16" authorId="0" shapeId="0">
      <text>
        <t>Source: Yahoo Finance (AWK), retrieved via yfinance</t>
      </text>
    </comment>
    <comment ref="D16" authorId="0" shapeId="0">
      <text>
        <t>Source: Yahoo Finance (AWK), retrieved via yfinance</t>
      </text>
    </comment>
    <comment ref="E16" authorId="0" shapeId="0">
      <text>
        <t>Source: Yahoo Finance (AWK), retrieved via yfinance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 DATA-CENTER POWER — COMPARABLE COMPANY ANALYSIS</t>
        </is>
      </c>
    </row>
    <row r="2">
      <c r="A2" t="inlineStr">
        <is>
          <t>All figures in USD millions except per-share amounts and ratios</t>
        </is>
      </c>
    </row>
    <row r="4">
      <c r="A4" t="inlineStr">
        <is>
          <t>Ticker</t>
        </is>
      </c>
      <c r="B4" t="inlineStr">
        <is>
          <t>EV ($mm)</t>
        </is>
      </c>
      <c r="C4" t="inlineStr">
        <is>
          <t>EBITDA ($mm)</t>
        </is>
      </c>
      <c r="D4" t="inlineStr">
        <is>
          <t>Price</t>
        </is>
      </c>
      <c r="E4" t="inlineStr">
        <is>
          <t>EPS</t>
        </is>
      </c>
      <c r="F4" t="inlineStr">
        <is>
          <t>EV/EBITDA</t>
        </is>
      </c>
      <c r="G4" t="inlineStr">
        <is>
          <t>P/E</t>
        </is>
      </c>
    </row>
    <row r="5">
      <c r="A5" t="inlineStr">
        <is>
          <t>VST</t>
        </is>
      </c>
      <c r="B5" t="n">
        <v>68470</v>
      </c>
      <c r="C5" t="n">
        <v>6790</v>
      </c>
      <c r="D5" t="n">
        <v>146.38</v>
      </c>
      <c r="E5" t="n">
        <v>5.98</v>
      </c>
      <c r="F5">
        <f>B5/C5</f>
        <v/>
      </c>
      <c r="G5">
        <f>D5/E5</f>
        <v/>
      </c>
    </row>
    <row r="6">
      <c r="A6" t="inlineStr">
        <is>
          <t>CEG</t>
        </is>
      </c>
      <c r="B6" t="n">
        <v>111048</v>
      </c>
      <c r="C6" t="n">
        <v>7957</v>
      </c>
      <c r="D6" t="n">
        <v>246.71</v>
      </c>
      <c r="E6" t="n">
        <v>11.51</v>
      </c>
      <c r="F6">
        <f>B6/C6</f>
        <v/>
      </c>
      <c r="G6">
        <f>D6/E6</f>
        <v/>
      </c>
    </row>
    <row r="7">
      <c r="A7" t="inlineStr">
        <is>
          <t>NRG</t>
        </is>
      </c>
      <c r="B7" t="n">
        <v>49929</v>
      </c>
      <c r="C7" t="n">
        <v>2258</v>
      </c>
      <c r="D7" t="n">
        <v>123.7</v>
      </c>
      <c r="E7" t="n">
        <v>0.9</v>
      </c>
      <c r="F7">
        <f>B7/C7</f>
        <v/>
      </c>
      <c r="G7">
        <f>D7/E7</f>
        <v/>
      </c>
    </row>
    <row r="8">
      <c r="A8" t="inlineStr">
        <is>
          <t>ETR</t>
        </is>
      </c>
      <c r="B8" t="n">
        <v>81378</v>
      </c>
      <c r="C8" t="n">
        <v>5490.2</v>
      </c>
      <c r="D8" t="n">
        <v>109.89</v>
      </c>
      <c r="E8" t="n">
        <v>3.92</v>
      </c>
      <c r="F8">
        <f>B8/C8</f>
        <v/>
      </c>
      <c r="G8">
        <f>D8/E8</f>
        <v/>
      </c>
    </row>
    <row r="9">
      <c r="A9" t="inlineStr">
        <is>
          <t>EXC</t>
        </is>
      </c>
      <c r="B9" t="n">
        <v>97197</v>
      </c>
      <c r="C9" t="n">
        <v>8249</v>
      </c>
      <c r="D9" t="n">
        <v>45.51</v>
      </c>
      <c r="E9" t="n">
        <v>2.73</v>
      </c>
      <c r="F9">
        <f>B9/C9</f>
        <v/>
      </c>
      <c r="G9">
        <f>D9/E9</f>
        <v/>
      </c>
    </row>
    <row r="10">
      <c r="A10" t="inlineStr">
        <is>
          <t>AES</t>
        </is>
      </c>
      <c r="B10" t="n">
        <v>48446</v>
      </c>
      <c r="C10" t="n">
        <v>3755</v>
      </c>
      <c r="D10" t="n">
        <v>14.67</v>
      </c>
      <c r="E10" t="n">
        <v>1.92</v>
      </c>
      <c r="F10">
        <f>B10/C10</f>
        <v/>
      </c>
      <c r="G10">
        <f>D10/E10</f>
        <v/>
      </c>
    </row>
    <row r="11">
      <c r="A11" t="inlineStr">
        <is>
          <t>PCG</t>
        </is>
      </c>
      <c r="B11" t="n">
        <v>100616</v>
      </c>
      <c r="C11" t="n">
        <v>10313</v>
      </c>
      <c r="D11" t="n">
        <v>16.79</v>
      </c>
      <c r="E11" t="n">
        <v>1.29</v>
      </c>
      <c r="F11">
        <f>B11/C11</f>
        <v/>
      </c>
      <c r="G11">
        <f>D11/E11</f>
        <v/>
      </c>
    </row>
    <row r="12">
      <c r="A12" t="inlineStr">
        <is>
          <t>FE</t>
        </is>
      </c>
      <c r="B12" t="n">
        <v>56455</v>
      </c>
      <c r="C12" t="n">
        <v>5170</v>
      </c>
      <c r="D12" t="n">
        <v>46.67</v>
      </c>
      <c r="E12" t="n">
        <v>1.84</v>
      </c>
      <c r="F12">
        <f>B12/C12</f>
        <v/>
      </c>
      <c r="G12">
        <f>D12/E12</f>
        <v/>
      </c>
    </row>
    <row r="13">
      <c r="A13" t="inlineStr">
        <is>
          <t>NEE</t>
        </is>
      </c>
      <c r="B13" t="n">
        <v>290735</v>
      </c>
      <c r="C13" t="n">
        <v>14159</v>
      </c>
      <c r="D13" t="n">
        <v>84.84</v>
      </c>
      <c r="E13" t="n">
        <v>3.94</v>
      </c>
      <c r="F13">
        <f>B13/C13</f>
        <v/>
      </c>
      <c r="G13">
        <f>D13/E13</f>
        <v/>
      </c>
    </row>
    <row r="14">
      <c r="A14" t="inlineStr">
        <is>
          <t>DUK</t>
        </is>
      </c>
      <c r="B14" t="n">
        <v>188881</v>
      </c>
      <c r="C14" t="n">
        <v>16478</v>
      </c>
      <c r="D14" t="n">
        <v>124.19</v>
      </c>
      <c r="E14" t="n">
        <v>6.5</v>
      </c>
      <c r="F14">
        <f>B14/C14</f>
        <v/>
      </c>
      <c r="G14">
        <f>D14/E14</f>
        <v/>
      </c>
    </row>
    <row r="15">
      <c r="A15" t="inlineStr">
        <is>
          <t>SO</t>
        </is>
      </c>
      <c r="B15" t="n">
        <v>182957</v>
      </c>
      <c r="C15" t="n">
        <v>13974</v>
      </c>
      <c r="D15" t="n">
        <v>93.27</v>
      </c>
      <c r="E15" t="n">
        <v>3.91</v>
      </c>
      <c r="F15">
        <f>B15/C15</f>
        <v/>
      </c>
      <c r="G15">
        <f>D15/E15</f>
        <v/>
      </c>
    </row>
    <row r="16">
      <c r="A16" t="inlineStr">
        <is>
          <t>AWK</t>
        </is>
      </c>
      <c r="B16" t="n">
        <v>39829</v>
      </c>
      <c r="C16" t="n">
        <v>2836</v>
      </c>
      <c r="D16" t="n">
        <v>124.45</v>
      </c>
      <c r="E16" t="n">
        <v>5.64</v>
      </c>
      <c r="F16">
        <f>B16/C16</f>
        <v/>
      </c>
      <c r="G16">
        <f>D16/E16</f>
        <v/>
      </c>
    </row>
    <row r="18">
      <c r="A18" t="inlineStr">
        <is>
          <t>Mean</t>
        </is>
      </c>
      <c r="F18">
        <f>AVERAGE(F5:F16)</f>
        <v/>
      </c>
      <c r="G18">
        <f>AVERAGE(G5:G16)</f>
        <v/>
      </c>
    </row>
    <row r="19">
      <c r="A19" t="inlineStr">
        <is>
          <t>Median</t>
        </is>
      </c>
      <c r="F19">
        <f>MEDIAN(F5:F16)</f>
        <v/>
      </c>
      <c r="G19">
        <f>MEDIAN(G5:G16)</f>
        <v/>
      </c>
    </row>
    <row r="20">
      <c r="A20" t="inlineStr">
        <is>
          <t>Min</t>
        </is>
      </c>
      <c r="F20">
        <f>MIN(F5:F16)</f>
        <v/>
      </c>
      <c r="G20">
        <f>MIN(G5:G16)</f>
        <v/>
      </c>
    </row>
    <row r="21">
      <c r="A21" t="inlineStr">
        <is>
          <t>Max</t>
        </is>
      </c>
      <c r="F21">
        <f>MAX(F5:F16)</f>
        <v/>
      </c>
      <c r="G21">
        <f>MAX(G5:G16)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2026-06-12T00:25:15Z</dcterms:created>
  <dcterms:modified xmlns:dcterms="http://purl.org/dc/terms/" xmlns:xsi="http://www.w3.org/2001/XMLSchema-instance" xsi:type="dcterms:W3CDTF">2026-06-12T00:25:15Z</dcterms:modified>
</cp:coreProperties>
</file>