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agent</author>
  </authors>
  <commentList>
    <comment ref="B5" authorId="0" shapeId="0">
      <text>
        <t>Source: Yahoo Finance (EQIX), retrieved via yfinance</t>
      </text>
    </comment>
    <comment ref="C5" authorId="0" shapeId="0">
      <text>
        <t>Source: Yahoo Finance (EQIX), retrieved via yfinance</t>
      </text>
    </comment>
    <comment ref="D5" authorId="0" shapeId="0">
      <text>
        <t>Source: Yahoo Finance (EQIX), retrieved via yfinance</t>
      </text>
    </comment>
    <comment ref="E5" authorId="0" shapeId="0">
      <text>
        <t>Source: Yahoo Finance (EQIX), retrieved via yfinance</t>
      </text>
    </comment>
    <comment ref="B6" authorId="0" shapeId="0">
      <text>
        <t>Source: Yahoo Finance (DLR), retrieved via yfinance</t>
      </text>
    </comment>
    <comment ref="C6" authorId="0" shapeId="0">
      <text>
        <t>Source: Yahoo Finance (DLR), retrieved via yfinance</t>
      </text>
    </comment>
    <comment ref="D6" authorId="0" shapeId="0">
      <text>
        <t>Source: Yahoo Finance (DLR), retrieved via yfinance</t>
      </text>
    </comment>
    <comment ref="E6" authorId="0" shapeId="0">
      <text>
        <t>Source: Yahoo Finance (DLR), retrieved via yfinance</t>
      </text>
    </comment>
    <comment ref="B7" authorId="0" shapeId="0">
      <text>
        <t>Source: Yahoo Finance (IRM), retrieved via yfinance</t>
      </text>
    </comment>
    <comment ref="C7" authorId="0" shapeId="0">
      <text>
        <t>Source: Yahoo Finance (IRM), retrieved via yfinance</t>
      </text>
    </comment>
    <comment ref="D7" authorId="0" shapeId="0">
      <text>
        <t>Source: Yahoo Finance (IRM), retrieved via yfinance</t>
      </text>
    </comment>
    <comment ref="E7" authorId="0" shapeId="0">
      <text>
        <t>Source: Yahoo Finance (IRM), retrieved via yfinance</t>
      </text>
    </comment>
    <comment ref="B8" authorId="0" shapeId="0">
      <text>
        <t>Source: Yahoo Finance (CONE), retrieved via yfinance</t>
      </text>
    </comment>
    <comment ref="C8" authorId="0" shapeId="0">
      <text>
        <t>Source: Yahoo Finance (CONE), retrieved via yfinance</t>
      </text>
    </comment>
    <comment ref="D8" authorId="0" shapeId="0">
      <text>
        <t>Source: Yahoo Finance (CONE), retrieved via yfinance</t>
      </text>
    </comment>
    <comment ref="E8" authorId="0" shapeId="0">
      <text>
        <t>Source: Yahoo Finance (CONE), retrieved via yfinance</t>
      </text>
    </comment>
    <comment ref="B9" authorId="0" shapeId="0">
      <text>
        <t>Source: Yahoo Finance (QTS), retrieved via yfinance</t>
      </text>
    </comment>
    <comment ref="C9" authorId="0" shapeId="0">
      <text>
        <t>Source: Yahoo Finance (QTS), retrieved via yfinance</t>
      </text>
    </comment>
    <comment ref="D9" authorId="0" shapeId="0">
      <text>
        <t>Source: Yahoo Finance (QTS), retrieved via yfinance</t>
      </text>
    </comment>
    <comment ref="E9" authorId="0" shapeId="0">
      <text>
        <t>Source: Yahoo Finance (QTS), retrieved via yfinance</t>
      </text>
    </comment>
    <comment ref="B10" authorId="0" shapeId="0">
      <text>
        <t>Source: Yahoo Finance (COR), retrieved via yfinance</t>
      </text>
    </comment>
    <comment ref="C10" authorId="0" shapeId="0">
      <text>
        <t>Source: Yahoo Finance (COR), retrieved via yfinance</t>
      </text>
    </comment>
    <comment ref="D10" authorId="0" shapeId="0">
      <text>
        <t>Source: Yahoo Finance (COR), retrieved via yfinance</t>
      </text>
    </comment>
    <comment ref="E10" authorId="0" shapeId="0">
      <text>
        <t>Source: Yahoo Finance (COR), retrieved via yfinance</t>
      </text>
    </comment>
    <comment ref="B11" authorId="0" shapeId="0">
      <text>
        <t>Source: Yahoo Finance (SWCH), retrieved via yfinance</t>
      </text>
    </comment>
    <comment ref="C11" authorId="0" shapeId="0">
      <text>
        <t>Source: Yahoo Finance (SWCH), retrieved via yfinance</t>
      </text>
    </comment>
    <comment ref="D11" authorId="0" shapeId="0">
      <text>
        <t>Source: Yahoo Finance (SWCH), retrieved via yfinance</t>
      </text>
    </comment>
    <comment ref="E11" authorId="0" shapeId="0">
      <text>
        <t>Source: Yahoo Finance (SWCH), retrieved via yfinance</t>
      </text>
    </comment>
    <comment ref="B12" authorId="0" shapeId="0">
      <text>
        <t>Source: Yahoo Finance (VRT), retrieved via yfinance</t>
      </text>
    </comment>
    <comment ref="C12" authorId="0" shapeId="0">
      <text>
        <t>Source: Yahoo Finance (VRT), retrieved via yfinance</t>
      </text>
    </comment>
    <comment ref="D12" authorId="0" shapeId="0">
      <text>
        <t>Source: Yahoo Finance (VRT), retrieved via yfinance</t>
      </text>
    </comment>
    <comment ref="E12" authorId="0" shapeId="0">
      <text>
        <t>Source: Yahoo Finance (VRT), retrieved via yfinance</t>
      </text>
    </comment>
    <comment ref="B13" authorId="0" shapeId="0">
      <text>
        <t>Source: Yahoo Finance (IRTC), retrieved via yfinance</t>
      </text>
    </comment>
    <comment ref="C13" authorId="0" shapeId="0">
      <text>
        <t>Source: Yahoo Finance (IRTC), retrieved via yfinance</t>
      </text>
    </comment>
    <comment ref="D13" authorId="0" shapeId="0">
      <text>
        <t>Source: Yahoo Finance (IRTC), retrieved via yfinance</t>
      </text>
    </comment>
    <comment ref="E13" authorId="0" shapeId="0">
      <text>
        <t>Source: Yahoo Finance (IRTC), retrieved via yfinance</t>
      </text>
    </comment>
    <comment ref="B14" authorId="0" shapeId="0">
      <text>
        <t>Source: Yahoo Finance (AMT), retrieved via yfinance</t>
      </text>
    </comment>
    <comment ref="C14" authorId="0" shapeId="0">
      <text>
        <t>Source: Yahoo Finance (AMT), retrieved via yfinance</t>
      </text>
    </comment>
    <comment ref="D14" authorId="0" shapeId="0">
      <text>
        <t>Source: Yahoo Finance (AMT), retrieved via yfinance</t>
      </text>
    </comment>
    <comment ref="E14" authorId="0" shapeId="0">
      <text>
        <t>Source: Yahoo Finance (AMT), retrieved via yfinance</t>
      </text>
    </comment>
    <comment ref="B15" authorId="0" shapeId="0">
      <text>
        <t>Source: Yahoo Finance (SBAC), retrieved via yfinance</t>
      </text>
    </comment>
    <comment ref="C15" authorId="0" shapeId="0">
      <text>
        <t>Source: Yahoo Finance (SBAC), retrieved via yfinance</t>
      </text>
    </comment>
    <comment ref="D15" authorId="0" shapeId="0">
      <text>
        <t>Source: Yahoo Finance (SBAC), retrieved via yfinance</t>
      </text>
    </comment>
    <comment ref="E15" authorId="0" shapeId="0">
      <text>
        <t>Source: Yahoo Finance (SBAC), retrieved via yfinance</t>
      </text>
    </comment>
    <comment ref="B16" authorId="0" shapeId="0">
      <text>
        <t>Source: Yahoo Finance (DLR), retrieved via yfinance</t>
      </text>
    </comment>
    <comment ref="C16" authorId="0" shapeId="0">
      <text>
        <t>Source: Yahoo Finance (DLR), retrieved via yfinance</t>
      </text>
    </comment>
    <comment ref="D16" authorId="0" shapeId="0">
      <text>
        <t>Source: Yahoo Finance (DLR), retrieved via yfinance</t>
      </text>
    </comment>
    <comment ref="E16" authorId="0" shapeId="0">
      <text>
        <t>Source: Yahoo Finance (DLR), retrieved via yfinance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 DATA CENTER REITS — COMPARABLE COMPANY ANALYSIS</t>
        </is>
      </c>
    </row>
    <row r="2">
      <c r="A2" t="inlineStr">
        <is>
          <t>All figures in USD millions except per-share amounts and ratios</t>
        </is>
      </c>
    </row>
    <row r="4">
      <c r="A4" t="inlineStr">
        <is>
          <t>Ticker</t>
        </is>
      </c>
      <c r="B4" t="inlineStr">
        <is>
          <t>EV ($mm)</t>
        </is>
      </c>
      <c r="C4" t="inlineStr">
        <is>
          <t>EBITDA ($mm)</t>
        </is>
      </c>
      <c r="D4" t="inlineStr">
        <is>
          <t>Price</t>
        </is>
      </c>
      <c r="E4" t="inlineStr">
        <is>
          <t>EPS</t>
        </is>
      </c>
      <c r="F4" t="inlineStr">
        <is>
          <t>EV/EBITDA</t>
        </is>
      </c>
      <c r="G4" t="inlineStr">
        <is>
          <t>P/E</t>
        </is>
      </c>
    </row>
    <row r="5">
      <c r="A5" t="inlineStr">
        <is>
          <t>EQIX</t>
        </is>
      </c>
      <c r="B5" t="n">
        <v>122849</v>
      </c>
      <c r="C5" t="n">
        <v>4282</v>
      </c>
      <c r="D5" t="n">
        <v>1022.6</v>
      </c>
      <c r="E5" t="n">
        <v>14.43</v>
      </c>
      <c r="F5">
        <f>B5/C5</f>
        <v/>
      </c>
      <c r="G5">
        <f>D5/E5</f>
        <v/>
      </c>
    </row>
    <row r="6">
      <c r="A6" t="inlineStr">
        <is>
          <t>DLR</t>
        </is>
      </c>
      <c r="B6" t="n">
        <v>81620</v>
      </c>
      <c r="C6" t="n">
        <v>2888.7</v>
      </c>
      <c r="D6" t="n">
        <v>176.07</v>
      </c>
      <c r="E6" t="n">
        <v>3.84</v>
      </c>
      <c r="F6">
        <f>B6/C6</f>
        <v/>
      </c>
      <c r="G6">
        <f>D6/E6</f>
        <v/>
      </c>
    </row>
    <row r="7">
      <c r="A7" t="inlineStr">
        <is>
          <t>IRM</t>
        </is>
      </c>
      <c r="B7" t="n">
        <v>56557</v>
      </c>
      <c r="C7" t="n">
        <v>2449.7</v>
      </c>
      <c r="D7" t="n">
        <v>123.52</v>
      </c>
      <c r="E7" t="n">
        <v>0.93</v>
      </c>
      <c r="F7">
        <f>B7/C7</f>
        <v/>
      </c>
      <c r="G7">
        <f>D7/E7</f>
        <v/>
      </c>
    </row>
    <row r="8">
      <c r="A8" t="inlineStr">
        <is>
          <t>CONE</t>
        </is>
      </c>
      <c r="B8" t="n">
        <v>0</v>
      </c>
      <c r="C8" t="n">
        <v>0</v>
      </c>
      <c r="D8" t="n">
        <v>0</v>
      </c>
      <c r="E8" t="n">
        <v>0</v>
      </c>
      <c r="F8">
        <f>B8/C8</f>
        <v/>
      </c>
      <c r="G8">
        <f>D8/E8</f>
        <v/>
      </c>
    </row>
    <row r="9">
      <c r="A9" t="inlineStr">
        <is>
          <t>QTS</t>
        </is>
      </c>
      <c r="B9" t="n">
        <v>0</v>
      </c>
      <c r="C9" t="n">
        <v>0</v>
      </c>
      <c r="D9" t="n">
        <v>0</v>
      </c>
      <c r="E9" t="n">
        <v>0</v>
      </c>
      <c r="F9">
        <f>B9/C9</f>
        <v/>
      </c>
      <c r="G9">
        <f>D9/E9</f>
        <v/>
      </c>
    </row>
    <row r="10">
      <c r="A10" t="inlineStr">
        <is>
          <t>COR</t>
        </is>
      </c>
      <c r="B10" t="n">
        <v>70804</v>
      </c>
      <c r="C10" t="n">
        <v>5300.4</v>
      </c>
      <c r="D10" t="n">
        <v>296.57</v>
      </c>
      <c r="E10" t="n">
        <v>12.81</v>
      </c>
      <c r="F10">
        <f>B10/C10</f>
        <v/>
      </c>
      <c r="G10">
        <f>D10/E10</f>
        <v/>
      </c>
    </row>
    <row r="11">
      <c r="A11" t="inlineStr">
        <is>
          <t>SWCH</t>
        </is>
      </c>
      <c r="B11" t="n">
        <v>0</v>
      </c>
      <c r="C11" t="n">
        <v>0</v>
      </c>
      <c r="D11" t="n">
        <v>0</v>
      </c>
      <c r="E11" t="n">
        <v>0</v>
      </c>
      <c r="F11">
        <f>B11/C11</f>
        <v/>
      </c>
      <c r="G11">
        <f>D11/E11</f>
        <v/>
      </c>
    </row>
    <row r="12">
      <c r="A12" t="inlineStr">
        <is>
          <t>VRT</t>
        </is>
      </c>
      <c r="B12" t="n">
        <v>117752</v>
      </c>
      <c r="C12" t="n">
        <v>2383</v>
      </c>
      <c r="D12" t="n">
        <v>304.57</v>
      </c>
      <c r="E12" t="n">
        <v>3.99</v>
      </c>
      <c r="F12">
        <f>B12/C12</f>
        <v/>
      </c>
      <c r="G12">
        <f>D12/E12</f>
        <v/>
      </c>
    </row>
    <row r="13">
      <c r="A13" t="inlineStr">
        <is>
          <t>IRTC</t>
        </is>
      </c>
      <c r="B13" t="n">
        <v>3902</v>
      </c>
      <c r="C13" t="n">
        <v>-11.2</v>
      </c>
      <c r="D13" t="n">
        <v>113.26</v>
      </c>
      <c r="E13" t="n">
        <v>-0.86</v>
      </c>
      <c r="F13">
        <f>B13/C13</f>
        <v/>
      </c>
      <c r="G13">
        <f>D13/E13</f>
        <v/>
      </c>
    </row>
    <row r="14">
      <c r="A14" t="inlineStr">
        <is>
          <t>AMT</t>
        </is>
      </c>
      <c r="B14" t="n">
        <v>128715</v>
      </c>
      <c r="C14" t="n">
        <v>6989.6</v>
      </c>
      <c r="D14" t="n">
        <v>168.63</v>
      </c>
      <c r="E14" t="n">
        <v>6.19</v>
      </c>
      <c r="F14">
        <f>B14/C14</f>
        <v/>
      </c>
      <c r="G14">
        <f>D14/E14</f>
        <v/>
      </c>
    </row>
    <row r="15">
      <c r="A15" t="inlineStr">
        <is>
          <t>SBAC</t>
        </is>
      </c>
      <c r="B15" t="n">
        <v>35081</v>
      </c>
      <c r="C15" t="n">
        <v>1827.7</v>
      </c>
      <c r="D15" t="n">
        <v>187.09</v>
      </c>
      <c r="E15" t="n">
        <v>9.49</v>
      </c>
      <c r="F15">
        <f>B15/C15</f>
        <v/>
      </c>
      <c r="G15">
        <f>D15/E15</f>
        <v/>
      </c>
    </row>
    <row r="16">
      <c r="A16" t="inlineStr">
        <is>
          <t>DLR</t>
        </is>
      </c>
      <c r="B16" t="n">
        <v>81620</v>
      </c>
      <c r="C16" t="n">
        <v>2888.7</v>
      </c>
      <c r="D16" t="n">
        <v>176.07</v>
      </c>
      <c r="E16" t="n">
        <v>3.84</v>
      </c>
      <c r="F16">
        <f>B16/C16</f>
        <v/>
      </c>
      <c r="G16">
        <f>D16/E16</f>
        <v/>
      </c>
    </row>
    <row r="18">
      <c r="A18" t="inlineStr">
        <is>
          <t>Mean</t>
        </is>
      </c>
      <c r="F18">
        <f>AVERAGE(F5:F16)</f>
        <v/>
      </c>
      <c r="G18">
        <f>AVERAGE(G5:G16)</f>
        <v/>
      </c>
    </row>
    <row r="19">
      <c r="A19" t="inlineStr">
        <is>
          <t>Median</t>
        </is>
      </c>
      <c r="F19">
        <f>MEDIAN(F5:F16)</f>
        <v/>
      </c>
      <c r="G19">
        <f>MEDIAN(G5:G16)</f>
        <v/>
      </c>
    </row>
    <row r="20">
      <c r="A20" t="inlineStr">
        <is>
          <t>Min</t>
        </is>
      </c>
      <c r="F20">
        <f>MIN(F5:F16)</f>
        <v/>
      </c>
      <c r="G20">
        <f>MIN(G5:G16)</f>
        <v/>
      </c>
    </row>
    <row r="21">
      <c r="A21" t="inlineStr">
        <is>
          <t>Max</t>
        </is>
      </c>
      <c r="F21">
        <f>MAX(F5:F16)</f>
        <v/>
      </c>
      <c r="G21">
        <f>MAX(G5:G16)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2026-07-16T05:24:35Z</dcterms:created>
  <dcterms:modified xmlns:dcterms="http://purl.org/dc/terms/" xmlns:xsi="http://www.w3.org/2001/XMLSchema-instance" xsi:type="dcterms:W3CDTF">2026-07-16T05:24:35Z</dcterms:modified>
</cp:coreProperties>
</file>